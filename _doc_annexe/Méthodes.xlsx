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Critical Data/Martial/Active Files/PROJETS/Projets Obj-C/Objective-Chess/"/>
    </mc:Choice>
  </mc:AlternateContent>
  <xr:revisionPtr revIDLastSave="0" documentId="13_ncr:1_{C6DB57C4-9EA1-764E-9551-8867CC211E5C}" xr6:coauthVersionLast="47" xr6:coauthVersionMax="47" xr10:uidLastSave="{00000000-0000-0000-0000-000000000000}"/>
  <bookViews>
    <workbookView xWindow="220" yWindow="660" windowWidth="33380" windowHeight="17440" xr2:uid="{7AFC0E1A-2B14-8D4C-BE82-739FD456D237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4" i="1" l="1"/>
  <c r="B33" i="1"/>
  <c r="C28" i="1"/>
  <c r="C31" i="1"/>
  <c r="C30" i="1"/>
  <c r="C29" i="1"/>
  <c r="C27" i="1"/>
  <c r="C25" i="1"/>
  <c r="C24" i="1"/>
  <c r="C23" i="1"/>
  <c r="C21" i="1"/>
  <c r="C20" i="1"/>
  <c r="C19" i="1"/>
  <c r="C17" i="1"/>
  <c r="C16" i="1"/>
  <c r="C14" i="1"/>
  <c r="C13" i="1"/>
  <c r="C12" i="1"/>
  <c r="C11" i="1"/>
  <c r="C9" i="1"/>
  <c r="C8" i="1"/>
  <c r="C7" i="1"/>
  <c r="C6" i="1"/>
  <c r="C5" i="1"/>
  <c r="C4" i="1"/>
  <c r="C3" i="1"/>
  <c r="B20" i="1"/>
  <c r="B21" i="1"/>
  <c r="B24" i="1"/>
  <c r="B25" i="1"/>
  <c r="B28" i="1"/>
  <c r="B29" i="1"/>
  <c r="B30" i="1"/>
  <c r="B31" i="1"/>
  <c r="B27" i="1"/>
  <c r="B23" i="1"/>
  <c r="B19" i="1"/>
  <c r="B17" i="1"/>
  <c r="B12" i="1"/>
  <c r="B13" i="1"/>
  <c r="B14" i="1"/>
  <c r="B16" i="1"/>
  <c r="B11" i="1"/>
  <c r="B4" i="1"/>
  <c r="B5" i="1"/>
  <c r="B6" i="1"/>
  <c r="B7" i="1"/>
  <c r="B8" i="1"/>
  <c r="B9" i="1"/>
  <c r="B3" i="1"/>
</calcChain>
</file>

<file path=xl/sharedStrings.xml><?xml version="1.0" encoding="utf-8"?>
<sst xmlns="http://schemas.openxmlformats.org/spreadsheetml/2006/main" count="69" uniqueCount="59">
  <si>
    <t>Minimax :</t>
  </si>
  <si>
    <t>BestMoveForSide:(Side)side</t>
  </si>
  <si>
    <t>board:(ChessBoard *)board</t>
  </si>
  <si>
    <t>RuleBook :</t>
  </si>
  <si>
    <t>dy:(int)dy</t>
  </si>
  <si>
    <t>MCNconnecteur :</t>
  </si>
  <si>
    <t>MajReperesCases</t>
  </si>
  <si>
    <t>ChessView :</t>
  </si>
  <si>
    <t>MakeComputerMove</t>
  </si>
  <si>
    <t>ChessBoard :</t>
  </si>
  <si>
    <t>MCNmoveToStr :</t>
  </si>
  <si>
    <t>PrisOuPas:(bool) priseDePiece</t>
  </si>
  <si>
    <t>MettreEnFormeChaine:(NSString*) moveToStr</t>
  </si>
  <si>
    <t>PieceSel:(int) pieceSelect</t>
  </si>
  <si>
    <t>PrisOuPas:(bool) prise</t>
  </si>
  <si>
    <t>PiecePrise:(int) piecePrise</t>
  </si>
  <si>
    <t>Board:(ChessBoard*) board</t>
  </si>
  <si>
    <t>Protagoniste:(NSString*) strJ_IA</t>
  </si>
  <si>
    <t>atPos:(Pos*) pos</t>
  </si>
  <si>
    <t>dx:(int) dx</t>
  </si>
  <si>
    <t>PosAccepteesForPiece:(Piece*) piece</t>
  </si>
  <si>
    <t>RechercheEnDirection:(Pos*) start</t>
  </si>
  <si>
    <t>TransformeEnStringMove:(Move*) move</t>
  </si>
  <si>
    <t>mouseDown:(NSEvent*) theEvent</t>
  </si>
  <si>
    <t>PerformMove:(Move*) move</t>
  </si>
  <si>
    <t>NegamaxForSide:(Side) side</t>
  </si>
  <si>
    <t>EvalBoardForSide:(Side) side</t>
  </si>
  <si>
    <t>PossibleMovesForSide:(Side) side</t>
  </si>
  <si>
    <t>board:(ChessBoard*) board</t>
  </si>
  <si>
    <t>depth:(int) depth</t>
  </si>
  <si>
    <t>alpha:(int) alpha</t>
  </si>
  <si>
    <t>beta:(int) beta</t>
  </si>
  <si>
    <t>enMode:(Mode) mode</t>
  </si>
  <si>
    <t>inBoard:(ChessBoard*) board</t>
  </si>
  <si>
    <t>onBoard:(ChessBoard*) board</t>
  </si>
  <si>
    <t>board:(ChessBoard *) board</t>
  </si>
  <si>
    <t>inBoard:(ChessBoard *) board</t>
  </si>
  <si>
    <t>PremCoupAIBlancs</t>
  </si>
  <si>
    <t>DefCouleurJoueur</t>
  </si>
  <si>
    <t>MovePieceDeStart:(Pos*) start</t>
  </si>
  <si>
    <t>ADest:(Pos*) dest</t>
  </si>
  <si>
    <t>MakeJoueurMoveVersDest:(Pos *) dest</t>
  </si>
  <si>
    <t>MajTxtCoups</t>
  </si>
  <si>
    <t>InitialiseTxtCoups:(NSString*) texteSortie</t>
  </si>
  <si>
    <t>TestEchecFavSide:(Side) side</t>
  </si>
  <si>
    <t>NotifiePatMatDesSide:(Side)side</t>
  </si>
  <si>
    <t>TestEchecRoiSide:(Side) side</t>
  </si>
  <si>
    <t>PosAccepteesForPieceSAR:(Piece*) piece</t>
  </si>
  <si>
    <t>TestEchecRoiSideSAR:(Side) side</t>
  </si>
  <si>
    <t>auRang:(int) rang</t>
  </si>
  <si>
    <t>SelectPromoPion:(Piece*) piece</t>
  </si>
  <si>
    <t>Classe</t>
  </si>
  <si>
    <t>Méthode</t>
  </si>
  <si>
    <t>Paramètres supplémentaires</t>
  </si>
  <si>
    <t>Type retourné</t>
  </si>
  <si>
    <t>Méthode de classe</t>
  </si>
  <si>
    <t>Méthode d'instance</t>
  </si>
  <si>
    <t>Méthode ??</t>
  </si>
  <si>
    <t>C /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</si>
</sst>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4"/>
      <color theme="0" tint="-0.14999847407452621"/>
      <name val="Helvetica"/>
      <family val="2"/>
    </font>
    <font>
      <b/>
      <sz val="14"/>
      <color theme="0" tint="-0.14999847407452621"/>
      <name val="Helvetica"/>
      <family val="2"/>
    </font>
    <font>
      <b/>
      <sz val="16"/>
      <color theme="0" tint="-0.14999847407452621"/>
      <name val="Helvetica"/>
      <family val="2"/>
    </font>
    <font>
      <b/>
      <sz val="18"/>
      <color theme="0" tint="-0.14999847407452621"/>
      <name val="Helvetica"/>
      <family val="2"/>
    </font>
    <font>
      <b/>
      <sz val="18"/>
      <color rgb="FFD9D9D9"/>
      <name val="Helvetica"/>
      <family val="2"/>
    </font>
  </fonts>
  <fills count="8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rgb="FF0070C0"/>
        <bgColor indexed="64"/>
      </patternFill>
    </fill>
  </fills>
  <borders count="13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/>
      <diagonal/>
    </border>
    <border>
      <left/>
      <right/>
      <top style="thick">
        <color theme="0"/>
      </top>
      <bottom/>
      <diagonal/>
    </border>
    <border>
      <left/>
      <right style="thick">
        <color theme="0"/>
      </right>
      <top style="thick">
        <color theme="0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4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1" fillId="7" borderId="0" xfId="0" applyFont="1" applyFill="1" applyAlignment="1">
      <alignment vertical="center"/>
    </xf>
    <xf numFmtId="0" fontId="4" fillId="7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4" fillId="5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0" fontId="4" fillId="5" borderId="1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" fillId="4" borderId="0" xfId="0" applyFont="1" applyFill="1" applyBorder="1" applyAlignment="1">
      <alignment vertical="center"/>
    </xf>
    <xf numFmtId="0" fontId="1" fillId="3" borderId="11" xfId="0" applyFont="1" applyFill="1" applyBorder="1" applyAlignment="1">
      <alignment vertical="center"/>
    </xf>
    <xf numFmtId="0" fontId="5" fillId="6" borderId="0" xfId="0" applyFont="1" applyFill="1" applyBorder="1" applyAlignment="1">
      <alignment horizontal="center" vertical="center"/>
    </xf>
    <xf numFmtId="0" fontId="5" fillId="6" borderId="1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 vertical="center" indent="1"/>
    </xf>
    <xf numFmtId="0" fontId="1" fillId="2" borderId="11" xfId="0" applyFont="1" applyFill="1" applyBorder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A36C7-4D0A-7A43-AAB8-850FCBCD8A48}">
  <dimension ref="A1:H36"/>
  <sheetViews>
    <sheetView tabSelected="1" workbookViewId="0">
      <selection activeCell="F7" sqref="F7"/>
    </sheetView>
  </sheetViews>
  <sheetFormatPr baseColWidth="10" defaultRowHeight="25" customHeight="1" x14ac:dyDescent="0.2"/>
  <cols>
    <col min="1" max="1" width="19.1640625" style="1" customWidth="1"/>
    <col min="2" max="2" width="6.33203125" style="5" customWidth="1"/>
    <col min="3" max="3" width="24.1640625" style="1" customWidth="1"/>
    <col min="4" max="4" width="51" style="1" customWidth="1"/>
    <col min="5" max="5" width="34.5" style="1" customWidth="1"/>
    <col min="6" max="6" width="37" style="1" customWidth="1"/>
    <col min="7" max="7" width="30.6640625" style="1" customWidth="1"/>
    <col min="8" max="8" width="32.83203125" style="1" customWidth="1"/>
    <col min="9" max="9" width="23.33203125" style="1" customWidth="1"/>
    <col min="10" max="16384" width="10.83203125" style="1"/>
  </cols>
  <sheetData>
    <row r="1" spans="1:8" s="9" customFormat="1" ht="40" customHeight="1" thickTop="1" thickBot="1" x14ac:dyDescent="0.25">
      <c r="A1" s="13" t="s">
        <v>51</v>
      </c>
      <c r="B1" s="14" t="s">
        <v>58</v>
      </c>
      <c r="C1" s="13" t="s">
        <v>54</v>
      </c>
      <c r="D1" s="13" t="s">
        <v>52</v>
      </c>
      <c r="E1" s="10" t="s">
        <v>53</v>
      </c>
      <c r="F1" s="11"/>
      <c r="G1" s="11"/>
      <c r="H1" s="12"/>
    </row>
    <row r="2" spans="1:8" ht="35" customHeight="1" thickTop="1" x14ac:dyDescent="0.2">
      <c r="A2" s="15" t="s">
        <v>0</v>
      </c>
      <c r="B2" s="16"/>
      <c r="C2" s="16"/>
      <c r="D2" s="17"/>
      <c r="E2" s="17"/>
      <c r="F2" s="17"/>
      <c r="G2" s="17"/>
      <c r="H2" s="18"/>
    </row>
    <row r="3" spans="1:8" ht="25" customHeight="1" x14ac:dyDescent="0.2">
      <c r="A3" s="19"/>
      <c r="B3" s="20" t="str">
        <f>"+"</f>
        <v>+</v>
      </c>
      <c r="C3" s="34" t="str">
        <f>"(Move*)"</f>
        <v>(Move*)</v>
      </c>
      <c r="D3" s="21" t="s">
        <v>1</v>
      </c>
      <c r="E3" s="21" t="s">
        <v>35</v>
      </c>
      <c r="F3" s="21"/>
      <c r="G3" s="21"/>
      <c r="H3" s="22"/>
    </row>
    <row r="4" spans="1:8" ht="25" customHeight="1" x14ac:dyDescent="0.2">
      <c r="A4" s="19"/>
      <c r="B4" s="20" t="str">
        <f t="shared" ref="B4:B14" si="0">"+"</f>
        <v>+</v>
      </c>
      <c r="C4" s="34" t="str">
        <f>"(int)"</f>
        <v>(int)</v>
      </c>
      <c r="D4" s="21" t="s">
        <v>25</v>
      </c>
      <c r="E4" s="21" t="s">
        <v>28</v>
      </c>
      <c r="F4" s="21" t="s">
        <v>29</v>
      </c>
      <c r="G4" s="21" t="s">
        <v>30</v>
      </c>
      <c r="H4" s="22" t="s">
        <v>31</v>
      </c>
    </row>
    <row r="5" spans="1:8" ht="25" customHeight="1" x14ac:dyDescent="0.2">
      <c r="A5" s="19"/>
      <c r="B5" s="20" t="str">
        <f t="shared" si="0"/>
        <v>+</v>
      </c>
      <c r="C5" s="34" t="str">
        <f>"(int)"</f>
        <v>(int)</v>
      </c>
      <c r="D5" s="21" t="s">
        <v>26</v>
      </c>
      <c r="E5" s="21" t="s">
        <v>28</v>
      </c>
      <c r="F5" s="21"/>
      <c r="G5" s="21"/>
      <c r="H5" s="22"/>
    </row>
    <row r="6" spans="1:8" ht="25" customHeight="1" x14ac:dyDescent="0.2">
      <c r="A6" s="19"/>
      <c r="B6" s="20" t="str">
        <f t="shared" si="0"/>
        <v>+</v>
      </c>
      <c r="C6" s="34" t="str">
        <f>"(NSSet*)"</f>
        <v>(NSSet*)</v>
      </c>
      <c r="D6" s="21" t="s">
        <v>27</v>
      </c>
      <c r="E6" s="21" t="s">
        <v>28</v>
      </c>
      <c r="F6" s="21"/>
      <c r="G6" s="21"/>
      <c r="H6" s="22"/>
    </row>
    <row r="7" spans="1:8" ht="25" customHeight="1" x14ac:dyDescent="0.2">
      <c r="A7" s="19"/>
      <c r="B7" s="20" t="str">
        <f t="shared" si="0"/>
        <v>+</v>
      </c>
      <c r="C7" s="34" t="str">
        <f>"(NSString*)"</f>
        <v>(NSString*)</v>
      </c>
      <c r="D7" s="21" t="s">
        <v>44</v>
      </c>
      <c r="E7" s="21" t="s">
        <v>28</v>
      </c>
      <c r="F7" s="21"/>
      <c r="G7" s="21"/>
      <c r="H7" s="22"/>
    </row>
    <row r="8" spans="1:8" ht="25" customHeight="1" x14ac:dyDescent="0.2">
      <c r="A8" s="19"/>
      <c r="B8" s="20" t="str">
        <f t="shared" si="0"/>
        <v>+</v>
      </c>
      <c r="C8" s="34" t="str">
        <f>"(BOOL)"</f>
        <v>(BOOL)</v>
      </c>
      <c r="D8" s="23" t="s">
        <v>46</v>
      </c>
      <c r="E8" s="21" t="s">
        <v>36</v>
      </c>
      <c r="F8" s="21"/>
      <c r="G8" s="21"/>
      <c r="H8" s="22"/>
    </row>
    <row r="9" spans="1:8" ht="25" customHeight="1" thickBot="1" x14ac:dyDescent="0.25">
      <c r="A9" s="24"/>
      <c r="B9" s="25" t="str">
        <f t="shared" si="0"/>
        <v>+</v>
      </c>
      <c r="C9" s="35" t="str">
        <f>"(void)"</f>
        <v>(void)</v>
      </c>
      <c r="D9" s="26" t="s">
        <v>45</v>
      </c>
      <c r="E9" s="26" t="s">
        <v>34</v>
      </c>
      <c r="F9" s="26"/>
      <c r="G9" s="26"/>
      <c r="H9" s="27"/>
    </row>
    <row r="10" spans="1:8" ht="35" customHeight="1" thickTop="1" x14ac:dyDescent="0.2">
      <c r="A10" s="15" t="s">
        <v>3</v>
      </c>
      <c r="B10" s="16"/>
      <c r="C10" s="16"/>
      <c r="D10" s="17"/>
      <c r="E10" s="17"/>
      <c r="F10" s="17"/>
      <c r="G10" s="17"/>
      <c r="H10" s="18"/>
    </row>
    <row r="11" spans="1:8" ht="25" customHeight="1" x14ac:dyDescent="0.2">
      <c r="A11" s="19"/>
      <c r="B11" s="20" t="str">
        <f t="shared" si="0"/>
        <v>+</v>
      </c>
      <c r="C11" s="34" t="str">
        <f>"(NSSet*)"</f>
        <v>(NSSet*)</v>
      </c>
      <c r="D11" s="28" t="s">
        <v>20</v>
      </c>
      <c r="E11" s="21" t="s">
        <v>18</v>
      </c>
      <c r="F11" s="21" t="s">
        <v>33</v>
      </c>
      <c r="G11" s="21" t="s">
        <v>32</v>
      </c>
      <c r="H11" s="22"/>
    </row>
    <row r="12" spans="1:8" ht="25" customHeight="1" x14ac:dyDescent="0.2">
      <c r="A12" s="19"/>
      <c r="B12" s="20" t="str">
        <f t="shared" si="0"/>
        <v>+</v>
      </c>
      <c r="C12" s="34" t="str">
        <f>"(NSSet*)"</f>
        <v>(NSSet*)</v>
      </c>
      <c r="D12" s="28" t="s">
        <v>47</v>
      </c>
      <c r="E12" s="21" t="s">
        <v>18</v>
      </c>
      <c r="F12" s="21" t="s">
        <v>33</v>
      </c>
      <c r="G12" s="21" t="s">
        <v>32</v>
      </c>
      <c r="H12" s="22"/>
    </row>
    <row r="13" spans="1:8" ht="25" customHeight="1" x14ac:dyDescent="0.2">
      <c r="A13" s="19"/>
      <c r="B13" s="20" t="str">
        <f t="shared" si="0"/>
        <v>+</v>
      </c>
      <c r="C13" s="34" t="str">
        <f>"(NSSet*)"</f>
        <v>(NSSet*)</v>
      </c>
      <c r="D13" s="21" t="s">
        <v>21</v>
      </c>
      <c r="E13" s="21" t="s">
        <v>19</v>
      </c>
      <c r="F13" s="21" t="s">
        <v>4</v>
      </c>
      <c r="G13" s="21" t="s">
        <v>2</v>
      </c>
      <c r="H13" s="22"/>
    </row>
    <row r="14" spans="1:8" ht="25" customHeight="1" thickBot="1" x14ac:dyDescent="0.25">
      <c r="A14" s="24"/>
      <c r="B14" s="25" t="str">
        <f t="shared" si="0"/>
        <v>+</v>
      </c>
      <c r="C14" s="35" t="str">
        <f>"(BOOL)"</f>
        <v>(BOOL)</v>
      </c>
      <c r="D14" s="29" t="s">
        <v>48</v>
      </c>
      <c r="E14" s="26" t="s">
        <v>36</v>
      </c>
      <c r="F14" s="26"/>
      <c r="G14" s="26"/>
      <c r="H14" s="27"/>
    </row>
    <row r="15" spans="1:8" ht="35" customHeight="1" thickTop="1" x14ac:dyDescent="0.2">
      <c r="A15" s="15" t="s">
        <v>10</v>
      </c>
      <c r="B15" s="16"/>
      <c r="C15" s="16"/>
      <c r="D15" s="17"/>
      <c r="E15" s="17"/>
      <c r="F15" s="17"/>
      <c r="G15" s="17"/>
      <c r="H15" s="18"/>
    </row>
    <row r="16" spans="1:8" ht="25" customHeight="1" x14ac:dyDescent="0.2">
      <c r="A16" s="19"/>
      <c r="B16" s="20" t="str">
        <f t="shared" ref="B16:B17" si="1">"+"</f>
        <v>+</v>
      </c>
      <c r="C16" s="34" t="str">
        <f>"(NSMutableString*)"</f>
        <v>(NSMutableString*)</v>
      </c>
      <c r="D16" s="21" t="s">
        <v>22</v>
      </c>
      <c r="E16" s="21" t="s">
        <v>13</v>
      </c>
      <c r="F16" s="21" t="s">
        <v>14</v>
      </c>
      <c r="G16" s="21" t="s">
        <v>15</v>
      </c>
      <c r="H16" s="22" t="s">
        <v>16</v>
      </c>
    </row>
    <row r="17" spans="1:8" ht="25" customHeight="1" thickBot="1" x14ac:dyDescent="0.25">
      <c r="A17" s="24"/>
      <c r="B17" s="25" t="str">
        <f t="shared" si="1"/>
        <v>+</v>
      </c>
      <c r="C17" s="35" t="str">
        <f>"(void)"</f>
        <v>(void)</v>
      </c>
      <c r="D17" s="26" t="s">
        <v>12</v>
      </c>
      <c r="E17" s="26" t="s">
        <v>11</v>
      </c>
      <c r="F17" s="26" t="s">
        <v>17</v>
      </c>
      <c r="G17" s="26"/>
      <c r="H17" s="27"/>
    </row>
    <row r="18" spans="1:8" ht="35" customHeight="1" thickTop="1" x14ac:dyDescent="0.2">
      <c r="A18" s="15" t="s">
        <v>5</v>
      </c>
      <c r="B18" s="16"/>
      <c r="C18" s="16"/>
      <c r="D18" s="17"/>
      <c r="E18" s="17"/>
      <c r="F18" s="17"/>
      <c r="G18" s="17"/>
      <c r="H18" s="18"/>
    </row>
    <row r="19" spans="1:8" ht="25" customHeight="1" x14ac:dyDescent="0.2">
      <c r="A19" s="19"/>
      <c r="B19" s="30" t="str">
        <f>"-"</f>
        <v>-</v>
      </c>
      <c r="C19" s="34" t="str">
        <f t="shared" ref="C19:C21" si="2">"(void)"</f>
        <v>(void)</v>
      </c>
      <c r="D19" s="21" t="s">
        <v>42</v>
      </c>
      <c r="E19" s="21"/>
      <c r="F19" s="21"/>
      <c r="G19" s="21"/>
      <c r="H19" s="22"/>
    </row>
    <row r="20" spans="1:8" ht="25" customHeight="1" x14ac:dyDescent="0.2">
      <c r="A20" s="19"/>
      <c r="B20" s="30" t="str">
        <f t="shared" ref="B20:B21" si="3">"-"</f>
        <v>-</v>
      </c>
      <c r="C20" s="34" t="str">
        <f t="shared" si="2"/>
        <v>(void)</v>
      </c>
      <c r="D20" s="21" t="s">
        <v>43</v>
      </c>
      <c r="E20" s="21"/>
      <c r="F20" s="21"/>
      <c r="G20" s="21"/>
      <c r="H20" s="22"/>
    </row>
    <row r="21" spans="1:8" ht="25" customHeight="1" thickBot="1" x14ac:dyDescent="0.25">
      <c r="A21" s="24"/>
      <c r="B21" s="31" t="str">
        <f t="shared" si="3"/>
        <v>-</v>
      </c>
      <c r="C21" s="35" t="str">
        <f t="shared" si="2"/>
        <v>(void)</v>
      </c>
      <c r="D21" s="26" t="s">
        <v>6</v>
      </c>
      <c r="E21" s="26"/>
      <c r="F21" s="26"/>
      <c r="G21" s="26"/>
      <c r="H21" s="27"/>
    </row>
    <row r="22" spans="1:8" ht="35" customHeight="1" thickTop="1" x14ac:dyDescent="0.2">
      <c r="A22" s="32" t="s">
        <v>7</v>
      </c>
      <c r="B22" s="33"/>
      <c r="C22" s="33"/>
      <c r="D22" s="17"/>
      <c r="E22" s="17"/>
      <c r="F22" s="17"/>
      <c r="G22" s="17"/>
      <c r="H22" s="18"/>
    </row>
    <row r="23" spans="1:8" ht="25" customHeight="1" x14ac:dyDescent="0.2">
      <c r="A23" s="19"/>
      <c r="B23" s="30" t="str">
        <f>"-"</f>
        <v>-</v>
      </c>
      <c r="C23" s="34" t="str">
        <f t="shared" ref="C23:C25" si="4">"(void)"</f>
        <v>(void)</v>
      </c>
      <c r="D23" s="21" t="s">
        <v>23</v>
      </c>
      <c r="E23" s="21"/>
      <c r="F23" s="21"/>
      <c r="G23" s="21"/>
      <c r="H23" s="22"/>
    </row>
    <row r="24" spans="1:8" ht="25" customHeight="1" x14ac:dyDescent="0.2">
      <c r="A24" s="19"/>
      <c r="B24" s="30" t="str">
        <f t="shared" ref="B24:B25" si="5">"-"</f>
        <v>-</v>
      </c>
      <c r="C24" s="34" t="str">
        <f t="shared" si="4"/>
        <v>(void)</v>
      </c>
      <c r="D24" s="21" t="s">
        <v>8</v>
      </c>
      <c r="E24" s="21"/>
      <c r="F24" s="21"/>
      <c r="G24" s="21"/>
      <c r="H24" s="22"/>
    </row>
    <row r="25" spans="1:8" ht="25" customHeight="1" thickBot="1" x14ac:dyDescent="0.25">
      <c r="A25" s="24"/>
      <c r="B25" s="31" t="str">
        <f t="shared" si="5"/>
        <v>-</v>
      </c>
      <c r="C25" s="35" t="str">
        <f t="shared" si="4"/>
        <v>(void)</v>
      </c>
      <c r="D25" s="26" t="s">
        <v>41</v>
      </c>
      <c r="E25" s="26"/>
      <c r="F25" s="26"/>
      <c r="G25" s="26"/>
      <c r="H25" s="27"/>
    </row>
    <row r="26" spans="1:8" ht="35" customHeight="1" thickTop="1" x14ac:dyDescent="0.2">
      <c r="A26" s="15" t="s">
        <v>9</v>
      </c>
      <c r="B26" s="16"/>
      <c r="C26" s="16"/>
      <c r="D26" s="17"/>
      <c r="E26" s="17"/>
      <c r="F26" s="17"/>
      <c r="G26" s="17"/>
      <c r="H26" s="18"/>
    </row>
    <row r="27" spans="1:8" ht="25" customHeight="1" x14ac:dyDescent="0.2">
      <c r="A27" s="19"/>
      <c r="B27" s="30" t="str">
        <f>"-"</f>
        <v>-</v>
      </c>
      <c r="C27" s="34" t="str">
        <f>"(void)"</f>
        <v>(void)</v>
      </c>
      <c r="D27" s="21" t="s">
        <v>24</v>
      </c>
      <c r="E27" s="21"/>
      <c r="F27" s="21"/>
      <c r="G27" s="21"/>
      <c r="H27" s="22"/>
    </row>
    <row r="28" spans="1:8" ht="25" customHeight="1" x14ac:dyDescent="0.2">
      <c r="A28" s="19"/>
      <c r="B28" s="30" t="str">
        <f t="shared" ref="B28:B31" si="6">"-"</f>
        <v>-</v>
      </c>
      <c r="C28" s="34" t="str">
        <f>"(Piece*)"</f>
        <v>(Piece*)</v>
      </c>
      <c r="D28" s="21" t="s">
        <v>39</v>
      </c>
      <c r="E28" s="21" t="s">
        <v>40</v>
      </c>
      <c r="F28" s="21"/>
      <c r="G28" s="21"/>
      <c r="H28" s="22"/>
    </row>
    <row r="29" spans="1:8" ht="25" customHeight="1" x14ac:dyDescent="0.2">
      <c r="A29" s="19"/>
      <c r="B29" s="30" t="str">
        <f t="shared" si="6"/>
        <v>-</v>
      </c>
      <c r="C29" s="34" t="str">
        <f t="shared" ref="C29:C31" si="7">"(void)"</f>
        <v>(void)</v>
      </c>
      <c r="D29" s="21" t="s">
        <v>38</v>
      </c>
      <c r="E29" s="21"/>
      <c r="F29" s="21"/>
      <c r="G29" s="21"/>
      <c r="H29" s="22"/>
    </row>
    <row r="30" spans="1:8" ht="25" customHeight="1" x14ac:dyDescent="0.2">
      <c r="A30" s="19"/>
      <c r="B30" s="30" t="str">
        <f t="shared" si="6"/>
        <v>-</v>
      </c>
      <c r="C30" s="34" t="str">
        <f t="shared" si="7"/>
        <v>(void)</v>
      </c>
      <c r="D30" s="21" t="s">
        <v>37</v>
      </c>
      <c r="E30" s="21"/>
      <c r="F30" s="21"/>
      <c r="G30" s="21"/>
      <c r="H30" s="22"/>
    </row>
    <row r="31" spans="1:8" ht="25" customHeight="1" thickBot="1" x14ac:dyDescent="0.25">
      <c r="A31" s="24"/>
      <c r="B31" s="31" t="str">
        <f t="shared" si="6"/>
        <v>-</v>
      </c>
      <c r="C31" s="35" t="str">
        <f t="shared" si="7"/>
        <v>(void)</v>
      </c>
      <c r="D31" s="26" t="s">
        <v>50</v>
      </c>
      <c r="E31" s="26" t="s">
        <v>49</v>
      </c>
      <c r="F31" s="26"/>
      <c r="G31" s="26"/>
      <c r="H31" s="27"/>
    </row>
    <row r="32" spans="1:8" ht="25" customHeight="1" thickTop="1" x14ac:dyDescent="0.2"/>
    <row r="33" spans="1:4" ht="25" customHeight="1" x14ac:dyDescent="0.2">
      <c r="B33" s="3" t="str">
        <f>"+"</f>
        <v>+</v>
      </c>
      <c r="C33" s="36" t="s">
        <v>55</v>
      </c>
    </row>
    <row r="34" spans="1:4" ht="25" customHeight="1" x14ac:dyDescent="0.2">
      <c r="B34" s="4" t="str">
        <f t="shared" ref="B34" si="8">"-"</f>
        <v>-</v>
      </c>
      <c r="C34" s="36" t="s">
        <v>56</v>
      </c>
    </row>
    <row r="35" spans="1:4" ht="25" customHeight="1" x14ac:dyDescent="0.2">
      <c r="A35" s="2" t="s">
        <v>20</v>
      </c>
      <c r="B35" s="6"/>
      <c r="C35" s="2"/>
      <c r="D35" s="36" t="s">
        <v>57</v>
      </c>
    </row>
    <row r="36" spans="1:4" ht="25" customHeight="1" x14ac:dyDescent="0.2">
      <c r="A36" s="7" t="s">
        <v>48</v>
      </c>
      <c r="B36" s="8"/>
      <c r="C36" s="7"/>
      <c r="D36" s="36" t="s">
        <v>57</v>
      </c>
    </row>
  </sheetData>
  <mergeCells count="6">
    <mergeCell ref="A26:C26"/>
    <mergeCell ref="A2:C2"/>
    <mergeCell ref="A10:C10"/>
    <mergeCell ref="A15:C15"/>
    <mergeCell ref="A18:C18"/>
    <mergeCell ref="A22:C22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Microsoft Office</dc:creator>
  <cp:lastModifiedBy>Microsoft Office User</cp:lastModifiedBy>
  <dcterms:created xsi:type="dcterms:W3CDTF">2022-02-21T16:47:50Z</dcterms:created>
  <dcterms:modified xsi:type="dcterms:W3CDTF">2025-06-01T22:50:38Z</dcterms:modified>
</cp:coreProperties>
</file>